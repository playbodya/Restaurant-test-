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9C35" lockStructure="1"/>
  <bookViews>
    <workbookView visibility="visible" minimized="0" showHorizontalScroll="1" showVerticalScroll="1" showSheetTabs="1" tabRatio="600" firstSheet="0" activeTab="0" autoFilterDateGrouping="1"/>
  </bookViews>
  <sheets>
    <sheet xmlns:r="http://schemas.openxmlformats.org/officeDocument/2006/relationships" name="Objednávka banketu" sheetId="1" state="visible" r:id="rId1"/>
  </sheets>
  <definedNames>
    <definedName name="_xlnm.Print_Titles" localSheetId="0">'Objednávka banketu'!$12:$12</definedName>
    <definedName name="_xlnm.Print_Area" localSheetId="0">'Objednávka banketu'!$A$1:$E$167</definedName>
  </definedNames>
  <calcPr calcId="124519" fullCalcOnLoad="1"/>
</workbook>
</file>

<file path=xl/styles.xml><?xml version="1.0" encoding="utf-8"?>
<styleSheet xmlns="http://schemas.openxmlformats.org/spreadsheetml/2006/main">
  <numFmts count="2">
    <numFmt numFmtId="164" formatCode="d. m. yyyy"/>
    <numFmt numFmtId="165" formatCode="#,##0&quot; Kč&quot;"/>
  </numFmts>
  <fonts count="8">
    <font>
      <name val="Calibri"/>
      <family val="2"/>
      <color theme="1"/>
      <sz val="11"/>
      <scheme val="minor"/>
    </font>
    <font>
      <name val="Arial"/>
      <b val="1"/>
      <color rgb="002E2540"/>
      <sz val="16"/>
    </font>
    <font>
      <name val="Arial"/>
      <color rgb="006B6380"/>
      <sz val="9"/>
    </font>
    <font>
      <name val="Arial"/>
      <b val="1"/>
      <color rgb="002E2540"/>
      <sz val="10"/>
    </font>
    <font>
      <name val="Arial"/>
      <color rgb="002E2540"/>
      <sz val="10"/>
    </font>
    <font>
      <name val="Arial"/>
      <i val="1"/>
      <color rgb="006B6380"/>
      <sz val="9"/>
    </font>
    <font>
      <name val="Arial"/>
      <b val="1"/>
      <color rgb="00FFFFFF"/>
      <sz val="10"/>
    </font>
    <font>
      <name val="Arial"/>
      <b val="1"/>
      <color rgb="002E2540"/>
      <sz val="12"/>
    </font>
  </fonts>
  <fills count="6">
    <fill>
      <patternFill/>
    </fill>
    <fill>
      <patternFill patternType="gray125"/>
    </fill>
    <fill>
      <patternFill patternType="solid">
        <fgColor rgb="00FFF6C7"/>
      </patternFill>
    </fill>
    <fill>
      <patternFill patternType="solid">
        <fgColor rgb="002E2540"/>
      </patternFill>
    </fill>
    <fill>
      <patternFill patternType="solid">
        <fgColor rgb="00C9BEE6"/>
      </patternFill>
    </fill>
    <fill>
      <patternFill patternType="solid">
        <fgColor rgb="00E9E3F5"/>
      </patternFill>
    </fill>
  </fills>
  <borders count="3">
    <border>
      <left/>
      <right/>
      <top/>
      <bottom/>
      <diagonal/>
    </border>
    <border>
      <left style="thin">
        <color rgb="00CFC7E0"/>
      </left>
      <right style="thin">
        <color rgb="00CFC7E0"/>
      </right>
      <top style="thin">
        <color rgb="00CFC7E0"/>
      </top>
      <bottom style="thin">
        <color rgb="00CFC7E0"/>
      </bottom>
    </border>
    <border>
      <top style="medium">
        <color rgb="002E2540"/>
      </top>
      <bottom style="medium">
        <color rgb="002E2540"/>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applyProtection="1" pivotButton="0" quotePrefix="0" xfId="0">
      <alignment horizontal="left" vertical="center"/>
      <protection locked="0" hidden="0"/>
    </xf>
    <xf numFmtId="0" fontId="0" fillId="0" borderId="1" applyProtection="1" pivotButton="0" quotePrefix="0" xfId="0">
      <protection locked="0" hidden="0"/>
    </xf>
    <xf numFmtId="164" fontId="4" fillId="2" borderId="1" applyAlignment="1" applyProtection="1" pivotButton="0" quotePrefix="0" xfId="0">
      <alignment horizontal="left" vertical="center"/>
      <protection locked="0" hidden="0"/>
    </xf>
    <xf numFmtId="0" fontId="5" fillId="0" borderId="0" applyAlignment="1" pivotButton="0" quotePrefix="0" xfId="0">
      <alignment horizontal="left" vertical="center" wrapText="1"/>
    </xf>
    <xf numFmtId="0" fontId="6" fillId="3" borderId="1" applyAlignment="1" pivotButton="0" quotePrefix="0" xfId="0">
      <alignment horizontal="left" vertical="center"/>
    </xf>
    <xf numFmtId="0" fontId="6" fillId="3" borderId="1" applyAlignment="1" pivotButton="0" quotePrefix="0" xfId="0">
      <alignment horizontal="right" vertical="center"/>
    </xf>
    <xf numFmtId="0" fontId="3" fillId="4"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left" vertical="center"/>
    </xf>
    <xf numFmtId="165" fontId="4" fillId="0" borderId="1" applyAlignment="1" pivotButton="0" quotePrefix="0" xfId="0">
      <alignment horizontal="right" vertical="center"/>
    </xf>
    <xf numFmtId="0" fontId="4" fillId="0" borderId="1" applyAlignment="1" applyProtection="1" pivotButton="0" quotePrefix="0" xfId="0">
      <alignment horizontal="right" vertical="center"/>
      <protection locked="0" hidden="0"/>
    </xf>
    <xf numFmtId="165" fontId="3" fillId="0" borderId="1" applyAlignment="1" pivotButton="0" quotePrefix="0" xfId="0">
      <alignment horizontal="right" vertical="center"/>
    </xf>
    <xf numFmtId="0" fontId="7" fillId="5" borderId="2" applyAlignment="1" pivotButton="0" quotePrefix="0" xfId="0">
      <alignment horizontal="left" vertical="center"/>
    </xf>
    <xf numFmtId="0" fontId="4" fillId="5" borderId="2" applyAlignment="1" pivotButton="0" quotePrefix="0" xfId="0">
      <alignment horizontal="left" vertical="center"/>
    </xf>
    <xf numFmtId="0" fontId="0" fillId="0" borderId="2" pivotButton="0" quotePrefix="0" xfId="0"/>
    <xf numFmtId="165" fontId="7" fillId="5" borderId="2" applyAlignment="1" pivotButton="0" quotePrefix="0" xfId="0">
      <alignment horizontal="right" vertical="center"/>
    </xf>
    <xf numFmtId="165" fontId="2" fillId="0" borderId="0" applyAlignment="1" pivotButton="0" quotePrefix="0" xfId="0">
      <alignment horizontal="right" vertical="center"/>
    </xf>
    <xf numFmtId="0" fontId="5" fillId="0" borderId="0" applyAlignment="1" pivotButton="0" quotePrefix="0" xfId="0">
      <alignment horizontal="left" vertical="center"/>
    </xf>
    <xf numFmtId="0" fontId="4" fillId="2" borderId="1" applyAlignment="1" applyProtection="1" pivotButton="0" quotePrefix="0" xfId="0">
      <alignment vertical="top" wrapText="1"/>
      <protection locked="0" hidden="0"/>
    </xf>
  </cellXfs>
  <cellStyles count="1">
    <cellStyle name="Normal" xfId="0" builtinId="0" hidden="0"/>
  </cellStyles>
  <dxfs count="1">
    <dxf>
      <fill>
        <patternFill patternType="solid">
          <fgColor rgb="00FFF6C7"/>
          <bgColor rgb="00FFF6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67"/>
  <sheetViews>
    <sheetView showGridLines="0" workbookViewId="0">
      <pane ySplit="12" topLeftCell="A13" activePane="bottomLeft" state="frozen"/>
      <selection pane="bottomLeft" activeCell="B4" sqref="B4"/>
    </sheetView>
  </sheetViews>
  <sheetFormatPr baseColWidth="8" defaultRowHeight="15"/>
  <cols>
    <col width="50" customWidth="1" min="1" max="1"/>
    <col width="17" customWidth="1" min="2" max="2"/>
    <col width="11" customWidth="1" min="3" max="3"/>
    <col width="13" customWidth="1" min="4" max="4"/>
    <col width="17" customWidth="1" min="5" max="5"/>
  </cols>
  <sheetData>
    <row r="1" ht="30" customHeight="1">
      <c r="A1" s="1" t="inlineStr">
        <is>
          <t>Restaurace Prostorica – objednávka rautu / banketu</t>
        </is>
      </c>
    </row>
    <row r="2">
      <c r="A2" s="2" t="inlineStr">
        <is>
          <t>Švédská 42/58a, 712 00 Slezská Ostrava · sál a catering: +420 602 530 838</t>
        </is>
      </c>
    </row>
    <row r="4">
      <c r="A4" s="3" t="inlineStr">
        <is>
          <t>Jméno a příjmení</t>
        </is>
      </c>
      <c r="B4" s="4" t="n"/>
      <c r="C4" s="5" t="n"/>
      <c r="D4" s="5" t="n"/>
      <c r="E4" s="5" t="n"/>
    </row>
    <row r="5">
      <c r="A5" s="3" t="inlineStr">
        <is>
          <t>Telefon</t>
        </is>
      </c>
      <c r="B5" s="4" t="n"/>
      <c r="C5" s="5" t="n"/>
      <c r="D5" s="5" t="n"/>
      <c r="E5" s="5" t="n"/>
    </row>
    <row r="6">
      <c r="A6" s="3" t="inlineStr">
        <is>
          <t>E-mail</t>
        </is>
      </c>
      <c r="B6" s="4" t="n"/>
      <c r="C6" s="5" t="n"/>
      <c r="D6" s="5" t="n"/>
      <c r="E6" s="5" t="n"/>
    </row>
    <row r="7">
      <c r="A7" s="3" t="inlineStr">
        <is>
          <t>Datum akce</t>
        </is>
      </c>
      <c r="B7" s="6" t="n"/>
      <c r="C7" s="5" t="n"/>
      <c r="D7" s="5" t="n"/>
      <c r="E7" s="5" t="n"/>
    </row>
    <row r="8">
      <c r="A8" s="3" t="inlineStr">
        <is>
          <t>Počet osob</t>
        </is>
      </c>
      <c r="B8" s="4" t="n"/>
      <c r="C8" s="5" t="n"/>
      <c r="D8" s="5" t="n"/>
      <c r="E8" s="5" t="n"/>
    </row>
    <row r="10" ht="40" customHeight="1">
      <c r="A10" s="7" t="inlineStr">
        <is>
          <t>Vyplňte pouze žlutá pole: své údaje nahoře a ve sloupci „Množství“ počet kusů, porcí nebo kilogramů. Cena se spočítá sama. Desetinná čísla pište s čárkou (např. 0,5). Příklad: pokrm za 1 000 Kč/kg × 2 kg = 2 000 Kč; × 0,5 kg = 500 Kč.</t>
        </is>
      </c>
    </row>
    <row r="12" ht="22" customHeight="1">
      <c r="A12" s="8" t="inlineStr">
        <is>
          <t>Název pokrmu</t>
        </is>
      </c>
      <c r="B12" s="9" t="inlineStr">
        <is>
          <t>Cena za jednotku</t>
        </is>
      </c>
      <c r="C12" s="8" t="inlineStr">
        <is>
          <t>Jednotka</t>
        </is>
      </c>
      <c r="D12" s="9" t="inlineStr">
        <is>
          <t>Množství</t>
        </is>
      </c>
      <c r="E12" s="9" t="inlineStr">
        <is>
          <t>Cena celkem</t>
        </is>
      </c>
    </row>
    <row r="13">
      <c r="A13" s="10" t="inlineStr">
        <is>
          <t>Pronájem prostor</t>
        </is>
      </c>
      <c r="B13" s="11" t="n"/>
      <c r="C13" s="11" t="n"/>
      <c r="D13" s="11" t="n"/>
      <c r="E13" s="11" t="n"/>
    </row>
    <row r="14">
      <c r="A14" s="12" t="inlineStr">
        <is>
          <t>Modrý salónek</t>
        </is>
      </c>
      <c r="B14" s="13" t="n"/>
      <c r="C14" s="12" t="inlineStr">
        <is>
          <t>akce</t>
        </is>
      </c>
      <c r="D14" s="14" t="n"/>
      <c r="E14" s="15">
        <f>IF(OR(B14="",D14=""),"",B14*D14)</f>
        <v/>
      </c>
    </row>
    <row r="15">
      <c r="A15" s="12" t="inlineStr">
        <is>
          <t>Spodní salónek</t>
        </is>
      </c>
      <c r="B15" s="13" t="n"/>
      <c r="C15" s="12" t="inlineStr">
        <is>
          <t>akce</t>
        </is>
      </c>
      <c r="D15" s="14" t="n"/>
      <c r="E15" s="15">
        <f>IF(OR(B15="",D15=""),"",B15*D15)</f>
        <v/>
      </c>
    </row>
    <row r="16">
      <c r="A16" s="12" t="inlineStr">
        <is>
          <t>Velký sál s terasou</t>
        </is>
      </c>
      <c r="B16" s="13" t="n"/>
      <c r="C16" s="12" t="inlineStr">
        <is>
          <t>akce</t>
        </is>
      </c>
      <c r="D16" s="14" t="n"/>
      <c r="E16" s="15">
        <f>IF(OR(B16="",D16=""),"",B16*D16)</f>
        <v/>
      </c>
    </row>
    <row r="17">
      <c r="A17" s="12" t="inlineStr">
        <is>
          <t>Velký sál – uzavření celé restaurace</t>
        </is>
      </c>
      <c r="B17" s="13" t="n"/>
      <c r="C17" s="12" t="inlineStr">
        <is>
          <t>akce</t>
        </is>
      </c>
      <c r="D17" s="14" t="n"/>
      <c r="E17" s="15">
        <f>IF(OR(B17="",D17=""),"",B17*D17)</f>
        <v/>
      </c>
    </row>
    <row r="18">
      <c r="A18" s="12" t="n"/>
      <c r="B18" s="13" t="n"/>
      <c r="C18" s="12" t="n"/>
      <c r="D18" s="14" t="n"/>
      <c r="E18" s="15">
        <f>IF(OR(B18="",D18=""),"",B18*D18)</f>
        <v/>
      </c>
    </row>
    <row r="19">
      <c r="A19" s="12" t="n"/>
      <c r="B19" s="13" t="n"/>
      <c r="C19" s="12" t="n"/>
      <c r="D19" s="14" t="n"/>
      <c r="E19" s="15">
        <f>IF(OR(B19="",D19=""),"",B19*D19)</f>
        <v/>
      </c>
    </row>
    <row r="20">
      <c r="A20" s="10" t="inlineStr">
        <is>
          <t>Saláty</t>
        </is>
      </c>
      <c r="B20" s="11" t="n"/>
      <c r="C20" s="11" t="n"/>
      <c r="D20" s="11" t="n"/>
      <c r="E20" s="11" t="n"/>
    </row>
    <row r="21">
      <c r="A21" s="12" t="inlineStr">
        <is>
          <t>Šopský salát</t>
        </is>
      </c>
      <c r="B21" s="13" t="n"/>
      <c r="C21" s="12" t="inlineStr">
        <is>
          <t>kg</t>
        </is>
      </c>
      <c r="D21" s="14" t="n"/>
      <c r="E21" s="15">
        <f>IF(OR(B21="",D21=""),"",B21*D21)</f>
        <v/>
      </c>
    </row>
    <row r="22">
      <c r="A22" s="12" t="inlineStr">
        <is>
          <t>Řecký salát</t>
        </is>
      </c>
      <c r="B22" s="13" t="n"/>
      <c r="C22" s="12" t="inlineStr">
        <is>
          <t>kg</t>
        </is>
      </c>
      <c r="D22" s="14" t="n"/>
      <c r="E22" s="15">
        <f>IF(OR(B22="",D22=""),"",B22*D22)</f>
        <v/>
      </c>
    </row>
    <row r="23">
      <c r="A23" s="12" t="inlineStr">
        <is>
          <t>Coleslaw</t>
        </is>
      </c>
      <c r="B23" s="13" t="n"/>
      <c r="C23" s="12" t="inlineStr">
        <is>
          <t>kg</t>
        </is>
      </c>
      <c r="D23" s="14" t="n"/>
      <c r="E23" s="15">
        <f>IF(OR(B23="",D23=""),"",B23*D23)</f>
        <v/>
      </c>
    </row>
    <row r="24">
      <c r="A24" s="12" t="inlineStr">
        <is>
          <t>Zeleninový salát s černou čočkou</t>
        </is>
      </c>
      <c r="B24" s="13" t="n"/>
      <c r="C24" s="12" t="inlineStr">
        <is>
          <t>kg</t>
        </is>
      </c>
      <c r="D24" s="14" t="n"/>
      <c r="E24" s="15">
        <f>IF(OR(B24="",D24=""),"",B24*D24)</f>
        <v/>
      </c>
    </row>
    <row r="25">
      <c r="A25" s="12" t="inlineStr">
        <is>
          <t>Waldorf</t>
        </is>
      </c>
      <c r="B25" s="13" t="n"/>
      <c r="C25" s="12" t="inlineStr">
        <is>
          <t>kg</t>
        </is>
      </c>
      <c r="D25" s="14" t="n"/>
      <c r="E25" s="15">
        <f>IF(OR(B25="",D25=""),"",B25*D25)</f>
        <v/>
      </c>
    </row>
    <row r="26">
      <c r="A26" s="12" t="inlineStr">
        <is>
          <t>Těstovinový salát s kuřecím masem</t>
        </is>
      </c>
      <c r="B26" s="13" t="n"/>
      <c r="C26" s="12" t="inlineStr">
        <is>
          <t>kg</t>
        </is>
      </c>
      <c r="D26" s="14" t="n"/>
      <c r="E26" s="15">
        <f>IF(OR(B26="",D26=""),"",B26*D26)</f>
        <v/>
      </c>
    </row>
    <row r="27">
      <c r="A27" s="12" t="inlineStr">
        <is>
          <t>Těstovinový salát bez masa</t>
        </is>
      </c>
      <c r="B27" s="13" t="n"/>
      <c r="C27" s="12" t="inlineStr">
        <is>
          <t>kg</t>
        </is>
      </c>
      <c r="D27" s="14" t="n"/>
      <c r="E27" s="15">
        <f>IF(OR(B27="",D27=""),"",B27*D27)</f>
        <v/>
      </c>
    </row>
    <row r="28">
      <c r="A28" s="12" t="inlineStr">
        <is>
          <t>Caprese – špízy</t>
        </is>
      </c>
      <c r="B28" s="13" t="n"/>
      <c r="C28" s="12" t="inlineStr">
        <is>
          <t>ks</t>
        </is>
      </c>
      <c r="D28" s="14" t="n"/>
      <c r="E28" s="15">
        <f>IF(OR(B28="",D28=""),"",B28*D28)</f>
        <v/>
      </c>
    </row>
    <row r="29">
      <c r="A29" s="12" t="inlineStr">
        <is>
          <t>Tzatziki</t>
        </is>
      </c>
      <c r="B29" s="13" t="n"/>
      <c r="C29" s="12" t="inlineStr">
        <is>
          <t>kg</t>
        </is>
      </c>
      <c r="D29" s="14" t="n"/>
      <c r="E29" s="15">
        <f>IF(OR(B29="",D29=""),"",B29*D29)</f>
        <v/>
      </c>
    </row>
    <row r="30">
      <c r="A30" s="12" t="inlineStr">
        <is>
          <t>Vídeňský salát</t>
        </is>
      </c>
      <c r="B30" s="13" t="n"/>
      <c r="C30" s="12" t="inlineStr">
        <is>
          <t>kg</t>
        </is>
      </c>
      <c r="D30" s="14" t="n"/>
      <c r="E30" s="15">
        <f>IF(OR(B30="",D30=""),"",B30*D30)</f>
        <v/>
      </c>
    </row>
    <row r="31">
      <c r="A31" s="12" t="inlineStr">
        <is>
          <t>Bramborový salát</t>
        </is>
      </c>
      <c r="B31" s="13" t="n"/>
      <c r="C31" s="12" t="inlineStr">
        <is>
          <t>kg</t>
        </is>
      </c>
      <c r="D31" s="14" t="n"/>
      <c r="E31" s="15">
        <f>IF(OR(B31="",D31=""),"",B31*D31)</f>
        <v/>
      </c>
    </row>
    <row r="32">
      <c r="A32" s="12" t="inlineStr">
        <is>
          <t>Ovocný salát</t>
        </is>
      </c>
      <c r="B32" s="13" t="n"/>
      <c r="C32" s="12" t="inlineStr">
        <is>
          <t>kg</t>
        </is>
      </c>
      <c r="D32" s="14" t="n"/>
      <c r="E32" s="15">
        <f>IF(OR(B32="",D32=""),"",B32*D32)</f>
        <v/>
      </c>
    </row>
    <row r="33">
      <c r="A33" s="12" t="n"/>
      <c r="B33" s="13" t="n"/>
      <c r="C33" s="12" t="n"/>
      <c r="D33" s="14" t="n"/>
      <c r="E33" s="15">
        <f>IF(OR(B33="",D33=""),"",B33*D33)</f>
        <v/>
      </c>
    </row>
    <row r="34">
      <c r="A34" s="12" t="n"/>
      <c r="B34" s="13" t="n"/>
      <c r="C34" s="12" t="n"/>
      <c r="D34" s="14" t="n"/>
      <c r="E34" s="15">
        <f>IF(OR(B34="",D34=""),"",B34*D34)</f>
        <v/>
      </c>
    </row>
    <row r="35">
      <c r="A35" s="10" t="inlineStr">
        <is>
          <t>Studený raut</t>
        </is>
      </c>
      <c r="B35" s="11" t="n"/>
      <c r="C35" s="11" t="n"/>
      <c r="D35" s="11" t="n"/>
      <c r="E35" s="11" t="n"/>
    </row>
    <row r="36">
      <c r="A36" s="12" t="inlineStr">
        <is>
          <t>Salámová mísa zdobená zeleninou</t>
        </is>
      </c>
      <c r="B36" s="13" t="n"/>
      <c r="C36" s="12" t="inlineStr">
        <is>
          <t>mísa</t>
        </is>
      </c>
      <c r="D36" s="14" t="n"/>
      <c r="E36" s="15">
        <f>IF(OR(B36="",D36=""),"",B36*D36)</f>
        <v/>
      </c>
    </row>
    <row r="37">
      <c r="A37" s="12" t="inlineStr">
        <is>
          <t>Sýrová mísa s chutney, zdobená ovocem a oříšky</t>
        </is>
      </c>
      <c r="B37" s="13" t="n"/>
      <c r="C37" s="12" t="inlineStr">
        <is>
          <t>mísa</t>
        </is>
      </c>
      <c r="D37" s="14" t="n"/>
      <c r="E37" s="15">
        <f>IF(OR(B37="",D37=""),"",B37*D37)</f>
        <v/>
      </c>
    </row>
    <row r="38">
      <c r="A38" s="12" t="inlineStr">
        <is>
          <t>Masové plněné rolády – kuřecí</t>
        </is>
      </c>
      <c r="B38" s="13" t="n"/>
      <c r="C38" s="12" t="inlineStr">
        <is>
          <t>kg</t>
        </is>
      </c>
      <c r="D38" s="14" t="n"/>
      <c r="E38" s="15">
        <f>IF(OR(B38="",D38=""),"",B38*D38)</f>
        <v/>
      </c>
    </row>
    <row r="39">
      <c r="A39" s="12" t="inlineStr">
        <is>
          <t>Masové plněné rolády – bůčkové</t>
        </is>
      </c>
      <c r="B39" s="13" t="n"/>
      <c r="C39" s="12" t="inlineStr">
        <is>
          <t>kg</t>
        </is>
      </c>
      <c r="D39" s="14" t="n"/>
      <c r="E39" s="15">
        <f>IF(OR(B39="",D39=""),"",B39*D39)</f>
        <v/>
      </c>
    </row>
    <row r="40">
      <c r="A40" s="12" t="inlineStr">
        <is>
          <t>Tatarský biftek s topinkami</t>
        </is>
      </c>
      <c r="B40" s="13" t="n"/>
      <c r="C40" s="12" t="inlineStr">
        <is>
          <t>kg</t>
        </is>
      </c>
      <c r="D40" s="14" t="n"/>
      <c r="E40" s="15">
        <f>IF(OR(B40="",D40=""),"",B40*D40)</f>
        <v/>
      </c>
    </row>
    <row r="41">
      <c r="A41" s="12" t="inlineStr">
        <is>
          <t>Tvarůžkový tatarák</t>
        </is>
      </c>
      <c r="B41" s="13" t="n"/>
      <c r="C41" s="12" t="inlineStr">
        <is>
          <t>kg</t>
        </is>
      </c>
      <c r="D41" s="14" t="n"/>
      <c r="E41" s="15">
        <f>IF(OR(B41="",D41=""),"",B41*D41)</f>
        <v/>
      </c>
    </row>
    <row r="42">
      <c r="A42" s="12" t="inlineStr">
        <is>
          <t>Pečená kuřecí stehýnka</t>
        </is>
      </c>
      <c r="B42" s="13" t="n"/>
      <c r="C42" s="12" t="inlineStr">
        <is>
          <t>kg</t>
        </is>
      </c>
      <c r="D42" s="14" t="n"/>
      <c r="E42" s="15">
        <f>IF(OR(B42="",D42=""),"",B42*D42)</f>
        <v/>
      </c>
    </row>
    <row r="43">
      <c r="A43" s="12" t="inlineStr">
        <is>
          <t>Kuřecí křidélka v BBQ omáčce</t>
        </is>
      </c>
      <c r="B43" s="13" t="n"/>
      <c r="C43" s="12" t="inlineStr">
        <is>
          <t>kg</t>
        </is>
      </c>
      <c r="D43" s="14" t="n"/>
      <c r="E43" s="15">
        <f>IF(OR(B43="",D43=""),"",B43*D43)</f>
        <v/>
      </c>
    </row>
    <row r="44">
      <c r="A44" s="12" t="inlineStr">
        <is>
          <t>Kuřecí mini řízečky v panko strouhance</t>
        </is>
      </c>
      <c r="B44" s="13" t="n"/>
      <c r="C44" s="12" t="inlineStr">
        <is>
          <t>kg</t>
        </is>
      </c>
      <c r="D44" s="14" t="n"/>
      <c r="E44" s="15">
        <f>IF(OR(B44="",D44=""),"",B44*D44)</f>
        <v/>
      </c>
    </row>
    <row r="45">
      <c r="A45" s="12" t="inlineStr">
        <is>
          <t>Vepřové mini řízečky</t>
        </is>
      </c>
      <c r="B45" s="13" t="n"/>
      <c r="C45" s="12" t="inlineStr">
        <is>
          <t>kg</t>
        </is>
      </c>
      <c r="D45" s="14" t="n"/>
      <c r="E45" s="15">
        <f>IF(OR(B45="",D45=""),"",B45*D45)</f>
        <v/>
      </c>
    </row>
    <row r="46">
      <c r="A46" s="12" t="inlineStr">
        <is>
          <t>Vepřové řízečky z panenky na česneku</t>
        </is>
      </c>
      <c r="B46" s="13" t="n"/>
      <c r="C46" s="12" t="inlineStr">
        <is>
          <t>kg</t>
        </is>
      </c>
      <c r="D46" s="14" t="n"/>
      <c r="E46" s="15">
        <f>IF(OR(B46="",D46=""),"",B46*D46)</f>
        <v/>
      </c>
    </row>
    <row r="47">
      <c r="A47" s="12" t="inlineStr">
        <is>
          <t>Masová mísa (domácí sekaná, tlačenka, mini klobásky)</t>
        </is>
      </c>
      <c r="B47" s="13" t="n"/>
      <c r="C47" s="12" t="inlineStr">
        <is>
          <t>mísa</t>
        </is>
      </c>
      <c r="D47" s="14" t="n"/>
      <c r="E47" s="15">
        <f>IF(OR(B47="",D47=""),"",B47*D47)</f>
        <v/>
      </c>
    </row>
    <row r="48">
      <c r="A48" s="12" t="inlineStr">
        <is>
          <t>Pečená jarní kuřátka na másle</t>
        </is>
      </c>
      <c r="B48" s="13" t="n"/>
      <c r="C48" s="12" t="inlineStr">
        <is>
          <t>ks</t>
        </is>
      </c>
      <c r="D48" s="14" t="n"/>
      <c r="E48" s="15">
        <f>IF(OR(B48="",D48=""),"",B48*D48)</f>
        <v/>
      </c>
    </row>
    <row r="49">
      <c r="A49" s="12" t="inlineStr">
        <is>
          <t>Mini burgery</t>
        </is>
      </c>
      <c r="B49" s="13" t="n"/>
      <c r="C49" s="12" t="inlineStr">
        <is>
          <t>ks</t>
        </is>
      </c>
      <c r="D49" s="14" t="n"/>
      <c r="E49" s="15">
        <f>IF(OR(B49="",D49=""),"",B49*D49)</f>
        <v/>
      </c>
    </row>
    <row r="50">
      <c r="A50" s="12" t="inlineStr">
        <is>
          <t>Mini burgery vegetariánské</t>
        </is>
      </c>
      <c r="B50" s="13" t="n"/>
      <c r="C50" s="12" t="inlineStr">
        <is>
          <t>ks</t>
        </is>
      </c>
      <c r="D50" s="14" t="n"/>
      <c r="E50" s="15">
        <f>IF(OR(B50="",D50=""),"",B50*D50)</f>
        <v/>
      </c>
    </row>
    <row r="51">
      <c r="A51" s="12" t="inlineStr">
        <is>
          <t>Mini croissanty plněné šunkou a sýrem</t>
        </is>
      </c>
      <c r="B51" s="13" t="n"/>
      <c r="C51" s="12" t="inlineStr">
        <is>
          <t>ks</t>
        </is>
      </c>
      <c r="D51" s="14" t="n"/>
      <c r="E51" s="15">
        <f>IF(OR(B51="",D51=""),"",B51*D51)</f>
        <v/>
      </c>
    </row>
    <row r="52">
      <c r="A52" s="12" t="inlineStr">
        <is>
          <t>Mini croissanty s gravlaxem</t>
        </is>
      </c>
      <c r="B52" s="13" t="n"/>
      <c r="C52" s="12" t="inlineStr">
        <is>
          <t>ks</t>
        </is>
      </c>
      <c r="D52" s="14" t="n"/>
      <c r="E52" s="15">
        <f>IF(OR(B52="",D52=""),"",B52*D52)</f>
        <v/>
      </c>
    </row>
    <row r="53">
      <c r="A53" s="12" t="inlineStr">
        <is>
          <t>Mini croissanty sýrové</t>
        </is>
      </c>
      <c r="B53" s="13" t="n"/>
      <c r="C53" s="12" t="inlineStr">
        <is>
          <t>ks</t>
        </is>
      </c>
      <c r="D53" s="14" t="n"/>
      <c r="E53" s="15">
        <f>IF(OR(B53="",D53=""),"",B53*D53)</f>
        <v/>
      </c>
    </row>
    <row r="54">
      <c r="A54" s="12" t="inlineStr">
        <is>
          <t>Mini tortilly</t>
        </is>
      </c>
      <c r="B54" s="13" t="n"/>
      <c r="C54" s="12" t="inlineStr">
        <is>
          <t>ks</t>
        </is>
      </c>
      <c r="D54" s="14" t="n"/>
      <c r="E54" s="15">
        <f>IF(OR(B54="",D54=""),"",B54*D54)</f>
        <v/>
      </c>
    </row>
    <row r="55">
      <c r="A55" s="12" t="inlineStr">
        <is>
          <t>Mini domácí bramborové placičky s uzeninou</t>
        </is>
      </c>
      <c r="B55" s="13" t="n"/>
      <c r="C55" s="12" t="inlineStr">
        <is>
          <t>ks</t>
        </is>
      </c>
      <c r="D55" s="14" t="n"/>
      <c r="E55" s="15">
        <f>IF(OR(B55="",D55=""),"",B55*D55)</f>
        <v/>
      </c>
    </row>
    <row r="56">
      <c r="A56" s="12" t="inlineStr">
        <is>
          <t>Roastbeef a gravlax</t>
        </is>
      </c>
      <c r="B56" s="13" t="n"/>
      <c r="C56" s="12" t="inlineStr">
        <is>
          <t>kg</t>
        </is>
      </c>
      <c r="D56" s="14" t="n"/>
      <c r="E56" s="15">
        <f>IF(OR(B56="",D56=""),"",B56*D56)</f>
        <v/>
      </c>
    </row>
    <row r="57">
      <c r="A57" s="12" t="inlineStr">
        <is>
          <t>Kachní paštika</t>
        </is>
      </c>
      <c r="B57" s="13" t="n"/>
      <c r="C57" s="12" t="inlineStr">
        <is>
          <t>kg</t>
        </is>
      </c>
      <c r="D57" s="14" t="n"/>
      <c r="E57" s="15">
        <f>IF(OR(B57="",D57=""),"",B57*D57)</f>
        <v/>
      </c>
    </row>
    <row r="58">
      <c r="A58" s="12" t="inlineStr">
        <is>
          <t>Drůbeží paštika</t>
        </is>
      </c>
      <c r="B58" s="13" t="n"/>
      <c r="C58" s="12" t="inlineStr">
        <is>
          <t>kg</t>
        </is>
      </c>
      <c r="D58" s="14" t="n"/>
      <c r="E58" s="15">
        <f>IF(OR(B58="",D58=""),"",B58*D58)</f>
        <v/>
      </c>
    </row>
    <row r="59">
      <c r="A59" s="12" t="n"/>
      <c r="B59" s="13" t="n"/>
      <c r="C59" s="12" t="n"/>
      <c r="D59" s="14" t="n"/>
      <c r="E59" s="15">
        <f>IF(OR(B59="",D59=""),"",B59*D59)</f>
        <v/>
      </c>
    </row>
    <row r="60">
      <c r="A60" s="12" t="n"/>
      <c r="B60" s="13" t="n"/>
      <c r="C60" s="12" t="n"/>
      <c r="D60" s="14" t="n"/>
      <c r="E60" s="15">
        <f>IF(OR(B60="",D60=""),"",B60*D60)</f>
        <v/>
      </c>
    </row>
    <row r="61">
      <c r="A61" s="10" t="inlineStr">
        <is>
          <t>Kanapky</t>
        </is>
      </c>
      <c r="B61" s="11" t="n"/>
      <c r="C61" s="11" t="n"/>
      <c r="D61" s="11" t="n"/>
      <c r="E61" s="11" t="n"/>
    </row>
    <row r="62">
      <c r="A62" s="12" t="inlineStr">
        <is>
          <t>Cherry rajčata a baby mozzarella</t>
        </is>
      </c>
      <c r="B62" s="13" t="n"/>
      <c r="C62" s="12" t="inlineStr">
        <is>
          <t>ks</t>
        </is>
      </c>
      <c r="D62" s="14" t="n"/>
      <c r="E62" s="15">
        <f>IF(OR(B62="",D62=""),"",B62*D62)</f>
        <v/>
      </c>
    </row>
    <row r="63">
      <c r="A63" s="12" t="inlineStr">
        <is>
          <t>Červená řepa s kozím sýrem</t>
        </is>
      </c>
      <c r="B63" s="13" t="n"/>
      <c r="C63" s="12" t="inlineStr">
        <is>
          <t>ks</t>
        </is>
      </c>
      <c r="D63" s="14" t="n"/>
      <c r="E63" s="15">
        <f>IF(OR(B63="",D63=""),"",B63*D63)</f>
        <v/>
      </c>
    </row>
    <row r="64">
      <c r="A64" s="12" t="inlineStr">
        <is>
          <t>Bylinková pomazánka zakápnutá citronem, losos a gravlax</t>
        </is>
      </c>
      <c r="B64" s="13" t="n"/>
      <c r="C64" s="12" t="inlineStr">
        <is>
          <t>ks</t>
        </is>
      </c>
      <c r="D64" s="14" t="n"/>
      <c r="E64" s="15">
        <f>IF(OR(B64="",D64=""),"",B64*D64)</f>
        <v/>
      </c>
    </row>
    <row r="65">
      <c r="A65" s="12" t="inlineStr">
        <is>
          <t>Křenová pěna s hovězím roastbeefem a mini okurkou</t>
        </is>
      </c>
      <c r="B65" s="13" t="n"/>
      <c r="C65" s="12" t="inlineStr">
        <is>
          <t>ks</t>
        </is>
      </c>
      <c r="D65" s="14" t="n"/>
      <c r="E65" s="15">
        <f>IF(OR(B65="",D65=""),"",B65*D65)</f>
        <v/>
      </c>
    </row>
    <row r="66">
      <c r="A66" s="12" t="inlineStr">
        <is>
          <t>Pečená cherry rajčata s bylinkami, fetou a kaviárem</t>
        </is>
      </c>
      <c r="B66" s="13" t="n"/>
      <c r="C66" s="12" t="inlineStr">
        <is>
          <t>ks</t>
        </is>
      </c>
      <c r="D66" s="14" t="n"/>
      <c r="E66" s="15">
        <f>IF(OR(B66="",D66=""),"",B66*D66)</f>
        <v/>
      </c>
    </row>
    <row r="67">
      <c r="A67" s="12" t="inlineStr">
        <is>
          <t>Sýrové s chutney</t>
        </is>
      </c>
      <c r="B67" s="13" t="n"/>
      <c r="C67" s="12" t="inlineStr">
        <is>
          <t>ks</t>
        </is>
      </c>
      <c r="D67" s="14" t="n"/>
      <c r="E67" s="15">
        <f>IF(OR(B67="",D67=""),"",B67*D67)</f>
        <v/>
      </c>
    </row>
    <row r="68">
      <c r="A68" s="12" t="inlineStr">
        <is>
          <t>Salámové s olivou</t>
        </is>
      </c>
      <c r="B68" s="13" t="n"/>
      <c r="C68" s="12" t="inlineStr">
        <is>
          <t>ks</t>
        </is>
      </c>
      <c r="D68" s="14" t="n"/>
      <c r="E68" s="15">
        <f>IF(OR(B68="",D68=""),"",B68*D68)</f>
        <v/>
      </c>
    </row>
    <row r="69">
      <c r="A69" s="12" t="n"/>
      <c r="B69" s="13" t="n"/>
      <c r="C69" s="12" t="n"/>
      <c r="D69" s="14" t="n"/>
      <c r="E69" s="15">
        <f>IF(OR(B69="",D69=""),"",B69*D69)</f>
        <v/>
      </c>
    </row>
    <row r="70">
      <c r="A70" s="12" t="n"/>
      <c r="B70" s="13" t="n"/>
      <c r="C70" s="12" t="n"/>
      <c r="D70" s="14" t="n"/>
      <c r="E70" s="15">
        <f>IF(OR(B70="",D70=""),"",B70*D70)</f>
        <v/>
      </c>
    </row>
    <row r="71">
      <c r="A71" s="10" t="inlineStr">
        <is>
          <t>Teplý raut</t>
        </is>
      </c>
      <c r="B71" s="11" t="n"/>
      <c r="C71" s="11" t="n"/>
      <c r="D71" s="11" t="n"/>
      <c r="E71" s="11" t="n"/>
    </row>
    <row r="72">
      <c r="A72" s="12" t="inlineStr">
        <is>
          <t>Vepřový guláš</t>
        </is>
      </c>
      <c r="B72" s="13" t="n"/>
      <c r="C72" s="12" t="inlineStr">
        <is>
          <t>kg</t>
        </is>
      </c>
      <c r="D72" s="14" t="n"/>
      <c r="E72" s="15">
        <f>IF(OR(B72="",D72=""),"",B72*D72)</f>
        <v/>
      </c>
    </row>
    <row r="73">
      <c r="A73" s="12" t="inlineStr">
        <is>
          <t>Hovězí guláš</t>
        </is>
      </c>
      <c r="B73" s="13" t="n"/>
      <c r="C73" s="12" t="inlineStr">
        <is>
          <t>kg</t>
        </is>
      </c>
      <c r="D73" s="14" t="n"/>
      <c r="E73" s="15">
        <f>IF(OR(B73="",D73=""),"",B73*D73)</f>
        <v/>
      </c>
    </row>
    <row r="74">
      <c r="A74" s="12" t="inlineStr">
        <is>
          <t>Zvěřinový guláš</t>
        </is>
      </c>
      <c r="B74" s="13" t="n"/>
      <c r="C74" s="12" t="inlineStr">
        <is>
          <t>kg</t>
        </is>
      </c>
      <c r="D74" s="14" t="n"/>
      <c r="E74" s="15">
        <f>IF(OR(B74="",D74=""),"",B74*D74)</f>
        <v/>
      </c>
    </row>
    <row r="75">
      <c r="A75" s="12" t="inlineStr">
        <is>
          <t>Hovězí líčka s kořenovou zeleninou</t>
        </is>
      </c>
      <c r="B75" s="13" t="n"/>
      <c r="C75" s="12" t="inlineStr">
        <is>
          <t>kg</t>
        </is>
      </c>
      <c r="D75" s="14" t="n"/>
      <c r="E75" s="15">
        <f>IF(OR(B75="",D75=""),"",B75*D75)</f>
        <v/>
      </c>
    </row>
    <row r="76">
      <c r="A76" s="12" t="inlineStr">
        <is>
          <t>Gyros šiška</t>
        </is>
      </c>
      <c r="B76" s="13" t="n"/>
      <c r="C76" s="12" t="inlineStr">
        <is>
          <t>kg</t>
        </is>
      </c>
      <c r="D76" s="14" t="n"/>
      <c r="E76" s="15">
        <f>IF(OR(B76="",D76=""),"",B76*D76)</f>
        <v/>
      </c>
    </row>
    <row r="77">
      <c r="A77" s="12" t="inlineStr">
        <is>
          <t>Gyros krájený</t>
        </is>
      </c>
      <c r="B77" s="13" t="n"/>
      <c r="C77" s="12" t="inlineStr">
        <is>
          <t>kg</t>
        </is>
      </c>
      <c r="D77" s="14" t="n"/>
      <c r="E77" s="15">
        <f>IF(OR(B77="",D77=""),"",B77*D77)</f>
        <v/>
      </c>
    </row>
    <row r="78">
      <c r="A78" s="12" t="inlineStr">
        <is>
          <t>Kuřecí soté se smetanou a žampiony</t>
        </is>
      </c>
      <c r="B78" s="13" t="n"/>
      <c r="C78" s="12" t="inlineStr">
        <is>
          <t>kg</t>
        </is>
      </c>
      <c r="D78" s="14" t="n"/>
      <c r="E78" s="15">
        <f>IF(OR(B78="",D78=""),"",B78*D78)</f>
        <v/>
      </c>
    </row>
    <row r="79">
      <c r="A79" s="12" t="inlineStr">
        <is>
          <t>Kuřecí mini špízy</t>
        </is>
      </c>
      <c r="B79" s="13" t="n"/>
      <c r="C79" s="12" t="inlineStr">
        <is>
          <t>ks</t>
        </is>
      </c>
      <c r="D79" s="14" t="n"/>
      <c r="E79" s="15">
        <f>IF(OR(B79="",D79=""),"",B79*D79)</f>
        <v/>
      </c>
    </row>
    <row r="80">
      <c r="A80" s="12" t="inlineStr">
        <is>
          <t>Vepřové mini špízy</t>
        </is>
      </c>
      <c r="B80" s="13" t="n"/>
      <c r="C80" s="12" t="inlineStr">
        <is>
          <t>ks</t>
        </is>
      </c>
      <c r="D80" s="14" t="n"/>
      <c r="E80" s="15">
        <f>IF(OR(B80="",D80=""),"",B80*D80)</f>
        <v/>
      </c>
    </row>
    <row r="81">
      <c r="A81" s="12" t="inlineStr">
        <is>
          <t>Šunková kýta s kostí</t>
        </is>
      </c>
      <c r="B81" s="13" t="n"/>
      <c r="C81" s="12" t="inlineStr">
        <is>
          <t>kg</t>
        </is>
      </c>
      <c r="D81" s="14" t="n"/>
      <c r="E81" s="15">
        <f>IF(OR(B81="",D81=""),"",B81*D81)</f>
        <v/>
      </c>
    </row>
    <row r="82">
      <c r="A82" s="12" t="inlineStr">
        <is>
          <t>Uzená kýta bez kosti</t>
        </is>
      </c>
      <c r="B82" s="13" t="n"/>
      <c r="C82" s="12" t="inlineStr">
        <is>
          <t>kg</t>
        </is>
      </c>
      <c r="D82" s="14" t="n"/>
      <c r="E82" s="15">
        <f>IF(OR(B82="",D82=""),"",B82*D82)</f>
        <v/>
      </c>
    </row>
    <row r="83">
      <c r="A83" s="12" t="inlineStr">
        <is>
          <t>Vepřové koleno s kostí</t>
        </is>
      </c>
      <c r="B83" s="13" t="n"/>
      <c r="C83" s="12" t="inlineStr">
        <is>
          <t>kg</t>
        </is>
      </c>
      <c r="D83" s="14" t="n"/>
      <c r="E83" s="15">
        <f>IF(OR(B83="",D83=""),"",B83*D83)</f>
        <v/>
      </c>
    </row>
    <row r="84">
      <c r="A84" s="12" t="inlineStr">
        <is>
          <t>Vepřové koleno bez kosti</t>
        </is>
      </c>
      <c r="B84" s="13" t="n"/>
      <c r="C84" s="12" t="inlineStr">
        <is>
          <t>kg</t>
        </is>
      </c>
      <c r="D84" s="14" t="n"/>
      <c r="E84" s="15">
        <f>IF(OR(B84="",D84=""),"",B84*D84)</f>
        <v/>
      </c>
    </row>
    <row r="85">
      <c r="A85" s="12" t="inlineStr">
        <is>
          <t>Žebírka v BBQ omáčce</t>
        </is>
      </c>
      <c r="B85" s="13" t="n"/>
      <c r="C85" s="12" t="inlineStr">
        <is>
          <t>kg</t>
        </is>
      </c>
      <c r="D85" s="14" t="n"/>
      <c r="E85" s="15">
        <f>IF(OR(B85="",D85=""),"",B85*D85)</f>
        <v/>
      </c>
    </row>
    <row r="86">
      <c r="A86" s="12" t="inlineStr">
        <is>
          <t>Vepřová panenka</t>
        </is>
      </c>
      <c r="B86" s="13" t="n"/>
      <c r="C86" s="12" t="inlineStr">
        <is>
          <t>kg</t>
        </is>
      </c>
      <c r="D86" s="14" t="n"/>
      <c r="E86" s="15">
        <f>IF(OR(B86="",D86=""),"",B86*D86)</f>
        <v/>
      </c>
    </row>
    <row r="87">
      <c r="A87" s="12" t="inlineStr">
        <is>
          <t>Smažené žampiony</t>
        </is>
      </c>
      <c r="B87" s="13" t="n"/>
      <c r="C87" s="12" t="inlineStr">
        <is>
          <t>kg</t>
        </is>
      </c>
      <c r="D87" s="14" t="n"/>
      <c r="E87" s="15">
        <f>IF(OR(B87="",D87=""),"",B87*D87)</f>
        <v/>
      </c>
    </row>
    <row r="88">
      <c r="A88" s="12" t="inlineStr">
        <is>
          <t>Smažený květák</t>
        </is>
      </c>
      <c r="B88" s="13" t="n"/>
      <c r="C88" s="12" t="inlineStr">
        <is>
          <t>kg</t>
        </is>
      </c>
      <c r="D88" s="14" t="n"/>
      <c r="E88" s="15">
        <f>IF(OR(B88="",D88=""),"",B88*D88)</f>
        <v/>
      </c>
    </row>
    <row r="89">
      <c r="A89" s="12" t="inlineStr">
        <is>
          <t>Plněné žampiony s modrým sýrem</t>
        </is>
      </c>
      <c r="B89" s="13" t="n"/>
      <c r="C89" s="12" t="inlineStr">
        <is>
          <t>ks</t>
        </is>
      </c>
      <c r="D89" s="14" t="n"/>
      <c r="E89" s="15">
        <f>IF(OR(B89="",D89=""),"",B89*D89)</f>
        <v/>
      </c>
    </row>
    <row r="90">
      <c r="A90" s="12" t="inlineStr">
        <is>
          <t>Smažené mini sýry (různé druhy)</t>
        </is>
      </c>
      <c r="B90" s="13" t="n"/>
      <c r="C90" s="12" t="inlineStr">
        <is>
          <t>kg</t>
        </is>
      </c>
      <c r="D90" s="14" t="n"/>
      <c r="E90" s="15">
        <f>IF(OR(B90="",D90=""),"",B90*D90)</f>
        <v/>
      </c>
    </row>
    <row r="91">
      <c r="A91" s="12" t="inlineStr">
        <is>
          <t>Uzené sele (od 25 kg)</t>
        </is>
      </c>
      <c r="B91" s="13" t="n"/>
      <c r="C91" s="12" t="inlineStr">
        <is>
          <t>kg</t>
        </is>
      </c>
      <c r="D91" s="14" t="n"/>
      <c r="E91" s="15">
        <f>IF(OR(B91="",D91=""),"",B91*D91)</f>
        <v/>
      </c>
    </row>
    <row r="92">
      <c r="A92" s="12" t="inlineStr">
        <is>
          <t>Pečená kachní prsa</t>
        </is>
      </c>
      <c r="B92" s="13" t="n"/>
      <c r="C92" s="12" t="inlineStr">
        <is>
          <t>kg</t>
        </is>
      </c>
      <c r="D92" s="14" t="n"/>
      <c r="E92" s="15">
        <f>IF(OR(B92="",D92=""),"",B92*D92)</f>
        <v/>
      </c>
    </row>
    <row r="93">
      <c r="A93" s="12" t="n"/>
      <c r="B93" s="13" t="n"/>
      <c r="C93" s="12" t="n"/>
      <c r="D93" s="14" t="n"/>
      <c r="E93" s="15">
        <f>IF(OR(B93="",D93=""),"",B93*D93)</f>
        <v/>
      </c>
    </row>
    <row r="94">
      <c r="A94" s="12" t="n"/>
      <c r="B94" s="13" t="n"/>
      <c r="C94" s="12" t="n"/>
      <c r="D94" s="14" t="n"/>
      <c r="E94" s="15">
        <f>IF(OR(B94="",D94=""),"",B94*D94)</f>
        <v/>
      </c>
    </row>
    <row r="95">
      <c r="A95" s="10" t="inlineStr">
        <is>
          <t>Ryby</t>
        </is>
      </c>
      <c r="B95" s="11" t="n"/>
      <c r="C95" s="11" t="n"/>
      <c r="D95" s="11" t="n"/>
      <c r="E95" s="11" t="n"/>
    </row>
    <row r="96">
      <c r="A96" s="12" t="inlineStr">
        <is>
          <t>Losos na másle</t>
        </is>
      </c>
      <c r="B96" s="13" t="n"/>
      <c r="C96" s="12" t="inlineStr">
        <is>
          <t>kg</t>
        </is>
      </c>
      <c r="D96" s="14" t="n"/>
      <c r="E96" s="15">
        <f>IF(OR(B96="",D96=""),"",B96*D96)</f>
        <v/>
      </c>
    </row>
    <row r="97">
      <c r="A97" s="12" t="inlineStr">
        <is>
          <t>Candát</t>
        </is>
      </c>
      <c r="B97" s="13" t="n"/>
      <c r="C97" s="12" t="inlineStr">
        <is>
          <t>kg</t>
        </is>
      </c>
      <c r="D97" s="14" t="n"/>
      <c r="E97" s="15">
        <f>IF(OR(B97="",D97=""),"",B97*D97)</f>
        <v/>
      </c>
    </row>
    <row r="98">
      <c r="A98" s="12" t="inlineStr">
        <is>
          <t>Jeseter</t>
        </is>
      </c>
      <c r="B98" s="13" t="n"/>
      <c r="C98" s="12" t="inlineStr">
        <is>
          <t>kg</t>
        </is>
      </c>
      <c r="D98" s="14" t="n"/>
      <c r="E98" s="15">
        <f>IF(OR(B98="",D98=""),"",B98*D98)</f>
        <v/>
      </c>
    </row>
    <row r="99">
      <c r="A99" s="12" t="n"/>
      <c r="B99" s="13" t="n"/>
      <c r="C99" s="12" t="n"/>
      <c r="D99" s="14" t="n"/>
      <c r="E99" s="15">
        <f>IF(OR(B99="",D99=""),"",B99*D99)</f>
        <v/>
      </c>
    </row>
    <row r="100">
      <c r="A100" s="12" t="n"/>
      <c r="B100" s="13" t="n"/>
      <c r="C100" s="12" t="n"/>
      <c r="D100" s="14" t="n"/>
      <c r="E100" s="15">
        <f>IF(OR(B100="",D100=""),"",B100*D100)</f>
        <v/>
      </c>
    </row>
    <row r="101">
      <c r="A101" s="10" t="inlineStr">
        <is>
          <t>Přílohy</t>
        </is>
      </c>
      <c r="B101" s="11" t="n"/>
      <c r="C101" s="11" t="n"/>
      <c r="D101" s="11" t="n"/>
      <c r="E101" s="11" t="n"/>
    </row>
    <row r="102">
      <c r="A102" s="12" t="inlineStr">
        <is>
          <t>Zeleninové kari s cizrnou a rýží</t>
        </is>
      </c>
      <c r="B102" s="13" t="n"/>
      <c r="C102" s="12" t="inlineStr">
        <is>
          <t>kg</t>
        </is>
      </c>
      <c r="D102" s="14" t="n"/>
      <c r="E102" s="15">
        <f>IF(OR(B102="",D102=""),"",B102*D102)</f>
        <v/>
      </c>
    </row>
    <row r="103">
      <c r="A103" s="12" t="inlineStr">
        <is>
          <t>Opékané brambory grenaille s česnekem</t>
        </is>
      </c>
      <c r="B103" s="13" t="n"/>
      <c r="C103" s="12" t="inlineStr">
        <is>
          <t>kg</t>
        </is>
      </c>
      <c r="D103" s="14" t="n"/>
      <c r="E103" s="15">
        <f>IF(OR(B103="",D103=""),"",B103*D103)</f>
        <v/>
      </c>
    </row>
    <row r="104">
      <c r="A104" s="12" t="inlineStr">
        <is>
          <t>Pečené batáty s bylinkami</t>
        </is>
      </c>
      <c r="B104" s="13" t="n"/>
      <c r="C104" s="12" t="inlineStr">
        <is>
          <t>kg</t>
        </is>
      </c>
      <c r="D104" s="14" t="n"/>
      <c r="E104" s="15">
        <f>IF(OR(B104="",D104=""),"",B104*D104)</f>
        <v/>
      </c>
    </row>
    <row r="105">
      <c r="A105" s="12" t="inlineStr">
        <is>
          <t>Šťouchané brambory s cibulkou</t>
        </is>
      </c>
      <c r="B105" s="13" t="n"/>
      <c r="C105" s="12" t="inlineStr">
        <is>
          <t>kg</t>
        </is>
      </c>
      <c r="D105" s="14" t="n"/>
      <c r="E105" s="15">
        <f>IF(OR(B105="",D105=""),"",B105*D105)</f>
        <v/>
      </c>
    </row>
    <row r="106">
      <c r="A106" s="12" t="inlineStr">
        <is>
          <t>Rýže (různé druhy)</t>
        </is>
      </c>
      <c r="B106" s="13" t="n"/>
      <c r="C106" s="12" t="inlineStr">
        <is>
          <t>kg</t>
        </is>
      </c>
      <c r="D106" s="14" t="n"/>
      <c r="E106" s="15">
        <f>IF(OR(B106="",D106=""),"",B106*D106)</f>
        <v/>
      </c>
    </row>
    <row r="107">
      <c r="A107" s="12" t="inlineStr">
        <is>
          <t>Grilovaná zelenina</t>
        </is>
      </c>
      <c r="B107" s="13" t="n"/>
      <c r="C107" s="12" t="inlineStr">
        <is>
          <t>kg</t>
        </is>
      </c>
      <c r="D107" s="14" t="n"/>
      <c r="E107" s="15">
        <f>IF(OR(B107="",D107=""),"",B107*D107)</f>
        <v/>
      </c>
    </row>
    <row r="108">
      <c r="A108" s="12" t="inlineStr">
        <is>
          <t>Ratatouille</t>
        </is>
      </c>
      <c r="B108" s="13" t="n"/>
      <c r="C108" s="12" t="inlineStr">
        <is>
          <t>kg</t>
        </is>
      </c>
      <c r="D108" s="14" t="n"/>
      <c r="E108" s="15">
        <f>IF(OR(B108="",D108=""),"",B108*D108)</f>
        <v/>
      </c>
    </row>
    <row r="109">
      <c r="A109" s="12" t="inlineStr">
        <is>
          <t>Variace pečiva</t>
        </is>
      </c>
      <c r="B109" s="13" t="n"/>
      <c r="C109" s="12" t="inlineStr">
        <is>
          <t>kg</t>
        </is>
      </c>
      <c r="D109" s="14" t="n"/>
      <c r="E109" s="15">
        <f>IF(OR(B109="",D109=""),"",B109*D109)</f>
        <v/>
      </c>
    </row>
    <row r="110">
      <c r="A110" s="12" t="n"/>
      <c r="B110" s="13" t="n"/>
      <c r="C110" s="12" t="n"/>
      <c r="D110" s="14" t="n"/>
      <c r="E110" s="15">
        <f>IF(OR(B110="",D110=""),"",B110*D110)</f>
        <v/>
      </c>
    </row>
    <row r="111">
      <c r="A111" s="12" t="n"/>
      <c r="B111" s="13" t="n"/>
      <c r="C111" s="12" t="n"/>
      <c r="D111" s="14" t="n"/>
      <c r="E111" s="15">
        <f>IF(OR(B111="",D111=""),"",B111*D111)</f>
        <v/>
      </c>
    </row>
    <row r="112">
      <c r="A112" s="10" t="inlineStr">
        <is>
          <t>Studené omáčky</t>
        </is>
      </c>
      <c r="B112" s="11" t="n"/>
      <c r="C112" s="11" t="n"/>
      <c r="D112" s="11" t="n"/>
      <c r="E112" s="11" t="n"/>
    </row>
    <row r="113">
      <c r="A113" s="12" t="inlineStr">
        <is>
          <t>Tatarka</t>
        </is>
      </c>
      <c r="B113" s="13" t="n"/>
      <c r="C113" s="12" t="inlineStr">
        <is>
          <t>porce</t>
        </is>
      </c>
      <c r="D113" s="14" t="n"/>
      <c r="E113" s="15">
        <f>IF(OR(B113="",D113=""),"",B113*D113)</f>
        <v/>
      </c>
    </row>
    <row r="114">
      <c r="A114" s="12" t="inlineStr">
        <is>
          <t>Ďábelka</t>
        </is>
      </c>
      <c r="B114" s="13" t="n"/>
      <c r="C114" s="12" t="inlineStr">
        <is>
          <t>porce</t>
        </is>
      </c>
      <c r="D114" s="14" t="n"/>
      <c r="E114" s="15">
        <f>IF(OR(B114="",D114=""),"",B114*D114)</f>
        <v/>
      </c>
    </row>
    <row r="115">
      <c r="A115" s="12" t="inlineStr">
        <is>
          <t>Bylinkový dip</t>
        </is>
      </c>
      <c r="B115" s="13" t="n"/>
      <c r="C115" s="12" t="inlineStr">
        <is>
          <t>porce</t>
        </is>
      </c>
      <c r="D115" s="14" t="n"/>
      <c r="E115" s="15">
        <f>IF(OR(B115="",D115=""),"",B115*D115)</f>
        <v/>
      </c>
    </row>
    <row r="116">
      <c r="A116" s="12" t="inlineStr">
        <is>
          <t>Česnekový dip</t>
        </is>
      </c>
      <c r="B116" s="13" t="n"/>
      <c r="C116" s="12" t="inlineStr">
        <is>
          <t>porce</t>
        </is>
      </c>
      <c r="D116" s="14" t="n"/>
      <c r="E116" s="15">
        <f>IF(OR(B116="",D116=""),"",B116*D116)</f>
        <v/>
      </c>
    </row>
    <row r="117">
      <c r="A117" s="12" t="inlineStr">
        <is>
          <t>Kečup</t>
        </is>
      </c>
      <c r="B117" s="13" t="n"/>
      <c r="C117" s="12" t="inlineStr">
        <is>
          <t>porce</t>
        </is>
      </c>
      <c r="D117" s="14" t="n"/>
      <c r="E117" s="15">
        <f>IF(OR(B117="",D117=""),"",B117*D117)</f>
        <v/>
      </c>
    </row>
    <row r="118">
      <c r="A118" s="12" t="n"/>
      <c r="B118" s="13" t="n"/>
      <c r="C118" s="12" t="n"/>
      <c r="D118" s="14" t="n"/>
      <c r="E118" s="15">
        <f>IF(OR(B118="",D118=""),"",B118*D118)</f>
        <v/>
      </c>
    </row>
    <row r="119">
      <c r="A119" s="12" t="n"/>
      <c r="B119" s="13" t="n"/>
      <c r="C119" s="12" t="n"/>
      <c r="D119" s="14" t="n"/>
      <c r="E119" s="15">
        <f>IF(OR(B119="",D119=""),"",B119*D119)</f>
        <v/>
      </c>
    </row>
    <row r="120">
      <c r="A120" s="10" t="inlineStr">
        <is>
          <t>Teplé omáčky</t>
        </is>
      </c>
      <c r="B120" s="11" t="n"/>
      <c r="C120" s="11" t="n"/>
      <c r="D120" s="11" t="n"/>
      <c r="E120" s="11" t="n"/>
    </row>
    <row r="121">
      <c r="A121" s="12" t="inlineStr">
        <is>
          <t>Pepřová</t>
        </is>
      </c>
      <c r="B121" s="13" t="n"/>
      <c r="C121" s="12" t="inlineStr">
        <is>
          <t>porce</t>
        </is>
      </c>
      <c r="D121" s="14" t="n"/>
      <c r="E121" s="15">
        <f>IF(OR(B121="",D121=""),"",B121*D121)</f>
        <v/>
      </c>
    </row>
    <row r="122">
      <c r="A122" s="12" t="inlineStr">
        <is>
          <t>Houbová</t>
        </is>
      </c>
      <c r="B122" s="13" t="n"/>
      <c r="C122" s="12" t="inlineStr">
        <is>
          <t>porce</t>
        </is>
      </c>
      <c r="D122" s="14" t="n"/>
      <c r="E122" s="15">
        <f>IF(OR(B122="",D122=""),"",B122*D122)</f>
        <v/>
      </c>
    </row>
    <row r="123">
      <c r="A123" s="12" t="inlineStr">
        <is>
          <t>Bylinková</t>
        </is>
      </c>
      <c r="B123" s="13" t="n"/>
      <c r="C123" s="12" t="inlineStr">
        <is>
          <t>porce</t>
        </is>
      </c>
      <c r="D123" s="14" t="n"/>
      <c r="E123" s="15">
        <f>IF(OR(B123="",D123=""),"",B123*D123)</f>
        <v/>
      </c>
    </row>
    <row r="124">
      <c r="A124" s="12" t="inlineStr">
        <is>
          <t>Brusinková</t>
        </is>
      </c>
      <c r="B124" s="13" t="n"/>
      <c r="C124" s="12" t="inlineStr">
        <is>
          <t>porce</t>
        </is>
      </c>
      <c r="D124" s="14" t="n"/>
      <c r="E124" s="15">
        <f>IF(OR(B124="",D124=""),"",B124*D124)</f>
        <v/>
      </c>
    </row>
    <row r="125">
      <c r="A125" s="12" t="inlineStr">
        <is>
          <t>Limetkovo-smetanová</t>
        </is>
      </c>
      <c r="B125" s="13" t="n"/>
      <c r="C125" s="12" t="inlineStr">
        <is>
          <t>porce</t>
        </is>
      </c>
      <c r="D125" s="14" t="n"/>
      <c r="E125" s="15">
        <f>IF(OR(B125="",D125=""),"",B125*D125)</f>
        <v/>
      </c>
    </row>
    <row r="126">
      <c r="A126" s="12" t="n"/>
      <c r="B126" s="13" t="n"/>
      <c r="C126" s="12" t="n"/>
      <c r="D126" s="14" t="n"/>
      <c r="E126" s="15">
        <f>IF(OR(B126="",D126=""),"",B126*D126)</f>
        <v/>
      </c>
    </row>
    <row r="127">
      <c r="A127" s="12" t="n"/>
      <c r="B127" s="13" t="n"/>
      <c r="C127" s="12" t="n"/>
      <c r="D127" s="14" t="n"/>
      <c r="E127" s="15">
        <f>IF(OR(B127="",D127=""),"",B127*D127)</f>
        <v/>
      </c>
    </row>
    <row r="128">
      <c r="A128" s="10" t="inlineStr">
        <is>
          <t>Veganská jídla</t>
        </is>
      </c>
      <c r="B128" s="11" t="n"/>
      <c r="C128" s="11" t="n"/>
      <c r="D128" s="11" t="n"/>
      <c r="E128" s="11" t="n"/>
    </row>
    <row r="129">
      <c r="A129" s="12" t="inlineStr">
        <is>
          <t>Plněná cuketa</t>
        </is>
      </c>
      <c r="B129" s="13" t="n"/>
      <c r="C129" s="12" t="inlineStr">
        <is>
          <t>porce</t>
        </is>
      </c>
      <c r="D129" s="14" t="n"/>
      <c r="E129" s="15">
        <f>IF(OR(B129="",D129=""),"",B129*D129)</f>
        <v/>
      </c>
    </row>
    <row r="130">
      <c r="A130" s="12" t="inlineStr">
        <is>
          <t>Plněný lilek</t>
        </is>
      </c>
      <c r="B130" s="13" t="n"/>
      <c r="C130" s="12" t="inlineStr">
        <is>
          <t>porce</t>
        </is>
      </c>
      <c r="D130" s="14" t="n"/>
      <c r="E130" s="15">
        <f>IF(OR(B130="",D130=""),"",B130*D130)</f>
        <v/>
      </c>
    </row>
    <row r="131">
      <c r="A131" s="12" t="inlineStr">
        <is>
          <t>Marinovaná cuketa a lilek</t>
        </is>
      </c>
      <c r="B131" s="13" t="n"/>
      <c r="C131" s="12" t="inlineStr">
        <is>
          <t>porce</t>
        </is>
      </c>
      <c r="D131" s="14" t="n"/>
      <c r="E131" s="15">
        <f>IF(OR(B131="",D131=""),"",B131*D131)</f>
        <v/>
      </c>
    </row>
    <row r="132">
      <c r="A132" s="12" t="inlineStr">
        <is>
          <t>Zeleninové placičky</t>
        </is>
      </c>
      <c r="B132" s="13" t="n"/>
      <c r="C132" s="12" t="inlineStr">
        <is>
          <t>porce</t>
        </is>
      </c>
      <c r="D132" s="14" t="n"/>
      <c r="E132" s="15">
        <f>IF(OR(B132="",D132=""),"",B132*D132)</f>
        <v/>
      </c>
    </row>
    <row r="133">
      <c r="A133" s="12" t="inlineStr">
        <is>
          <t>Poke bowl</t>
        </is>
      </c>
      <c r="B133" s="13" t="n"/>
      <c r="C133" s="12" t="inlineStr">
        <is>
          <t>porce</t>
        </is>
      </c>
      <c r="D133" s="14" t="n"/>
      <c r="E133" s="15">
        <f>IF(OR(B133="",D133=""),"",B133*D133)</f>
        <v/>
      </c>
    </row>
    <row r="134">
      <c r="A134" s="12" t="inlineStr">
        <is>
          <t>Hummus s červenou řepou a zeleninovými špalíčky</t>
        </is>
      </c>
      <c r="B134" s="13" t="n"/>
      <c r="C134" s="12" t="inlineStr">
        <is>
          <t>porce</t>
        </is>
      </c>
      <c r="D134" s="14" t="n"/>
      <c r="E134" s="15">
        <f>IF(OR(B134="",D134=""),"",B134*D134)</f>
        <v/>
      </c>
    </row>
    <row r="135">
      <c r="A135" s="12" t="n"/>
      <c r="B135" s="13" t="n"/>
      <c r="C135" s="12" t="n"/>
      <c r="D135" s="14" t="n"/>
      <c r="E135" s="15">
        <f>IF(OR(B135="",D135=""),"",B135*D135)</f>
        <v/>
      </c>
    </row>
    <row r="136">
      <c r="A136" s="12" t="n"/>
      <c r="B136" s="13" t="n"/>
      <c r="C136" s="12" t="n"/>
      <c r="D136" s="14" t="n"/>
      <c r="E136" s="15">
        <f>IF(OR(B136="",D136=""),"",B136*D136)</f>
        <v/>
      </c>
    </row>
    <row r="137">
      <c r="A137" s="10" t="inlineStr">
        <is>
          <t>Finger food</t>
        </is>
      </c>
      <c r="B137" s="11" t="n"/>
      <c r="C137" s="11" t="n"/>
      <c r="D137" s="11" t="n"/>
      <c r="E137" s="11" t="n"/>
    </row>
    <row r="138">
      <c r="A138" s="12" t="inlineStr">
        <is>
          <t>Finger food – mix podle domluvy</t>
        </is>
      </c>
      <c r="B138" s="13" t="n"/>
      <c r="C138" s="12" t="inlineStr">
        <is>
          <t>ks</t>
        </is>
      </c>
      <c r="D138" s="14" t="n"/>
      <c r="E138" s="15">
        <f>IF(OR(B138="",D138=""),"",B138*D138)</f>
        <v/>
      </c>
    </row>
    <row r="139">
      <c r="A139" s="12" t="n"/>
      <c r="B139" s="13" t="n"/>
      <c r="C139" s="12" t="n"/>
      <c r="D139" s="14" t="n"/>
      <c r="E139" s="15">
        <f>IF(OR(B139="",D139=""),"",B139*D139)</f>
        <v/>
      </c>
    </row>
    <row r="140">
      <c r="A140" s="12" t="n"/>
      <c r="B140" s="13" t="n"/>
      <c r="C140" s="12" t="n"/>
      <c r="D140" s="14" t="n"/>
      <c r="E140" s="15">
        <f>IF(OR(B140="",D140=""),"",B140*D140)</f>
        <v/>
      </c>
    </row>
    <row r="141">
      <c r="A141" s="10" t="inlineStr">
        <is>
          <t>Dezerty</t>
        </is>
      </c>
      <c r="B141" s="11" t="n"/>
      <c r="C141" s="11" t="n"/>
      <c r="D141" s="11" t="n"/>
      <c r="E141" s="11" t="n"/>
    </row>
    <row r="142">
      <c r="A142" s="12" t="inlineStr">
        <is>
          <t>Tiramisu</t>
        </is>
      </c>
      <c r="B142" s="13" t="n"/>
      <c r="C142" s="12" t="inlineStr">
        <is>
          <t>ks</t>
        </is>
      </c>
      <c r="D142" s="14" t="n"/>
      <c r="E142" s="15">
        <f>IF(OR(B142="",D142=""),"",B142*D142)</f>
        <v/>
      </c>
    </row>
    <row r="143">
      <c r="A143" s="12" t="inlineStr">
        <is>
          <t>Sušenka s malinami</t>
        </is>
      </c>
      <c r="B143" s="13" t="n"/>
      <c r="C143" s="12" t="inlineStr">
        <is>
          <t>ks</t>
        </is>
      </c>
      <c r="D143" s="14" t="n"/>
      <c r="E143" s="15">
        <f>IF(OR(B143="",D143=""),"",B143*D143)</f>
        <v/>
      </c>
    </row>
    <row r="144">
      <c r="A144" s="12" t="inlineStr">
        <is>
          <t>Lotus</t>
        </is>
      </c>
      <c r="B144" s="13" t="n"/>
      <c r="C144" s="12" t="inlineStr">
        <is>
          <t>ks</t>
        </is>
      </c>
      <c r="D144" s="14" t="n"/>
      <c r="E144" s="15">
        <f>IF(OR(B144="",D144=""),"",B144*D144)</f>
        <v/>
      </c>
    </row>
    <row r="145">
      <c r="A145" s="12" t="inlineStr">
        <is>
          <t>Piškoty se zakysanou smetanou a ovocem</t>
        </is>
      </c>
      <c r="B145" s="13" t="n"/>
      <c r="C145" s="12" t="inlineStr">
        <is>
          <t>ks</t>
        </is>
      </c>
      <c r="D145" s="14" t="n"/>
      <c r="E145" s="15">
        <f>IF(OR(B145="",D145=""),"",B145*D145)</f>
        <v/>
      </c>
    </row>
    <row r="146">
      <c r="A146" s="12" t="inlineStr">
        <is>
          <t>Tvarohový míša</t>
        </is>
      </c>
      <c r="B146" s="13" t="n"/>
      <c r="C146" s="12" t="inlineStr">
        <is>
          <t>ks</t>
        </is>
      </c>
      <c r="D146" s="14" t="n"/>
      <c r="E146" s="15">
        <f>IF(OR(B146="",D146=""),"",B146*D146)</f>
        <v/>
      </c>
    </row>
    <row r="147">
      <c r="A147" s="12" t="inlineStr">
        <is>
          <t>Oreo</t>
        </is>
      </c>
      <c r="B147" s="13" t="n"/>
      <c r="C147" s="12" t="inlineStr">
        <is>
          <t>ks</t>
        </is>
      </c>
      <c r="D147" s="14" t="n"/>
      <c r="E147" s="15">
        <f>IF(OR(B147="",D147=""),"",B147*D147)</f>
        <v/>
      </c>
    </row>
    <row r="148">
      <c r="A148" s="12" t="inlineStr">
        <is>
          <t>Panna cotta – malina</t>
        </is>
      </c>
      <c r="B148" s="13" t="n"/>
      <c r="C148" s="12" t="inlineStr">
        <is>
          <t>ks</t>
        </is>
      </c>
      <c r="D148" s="14" t="n"/>
      <c r="E148" s="15">
        <f>IF(OR(B148="",D148=""),"",B148*D148)</f>
        <v/>
      </c>
    </row>
    <row r="149">
      <c r="A149" s="12" t="inlineStr">
        <is>
          <t>Panna cotta – borůvka</t>
        </is>
      </c>
      <c r="B149" s="13" t="n"/>
      <c r="C149" s="12" t="inlineStr">
        <is>
          <t>ks</t>
        </is>
      </c>
      <c r="D149" s="14" t="n"/>
      <c r="E149" s="15">
        <f>IF(OR(B149="",D149=""),"",B149*D149)</f>
        <v/>
      </c>
    </row>
    <row r="150">
      <c r="A150" s="12" t="inlineStr">
        <is>
          <t>Mini koláčky (ořech, mák, tvaroh, povidla)</t>
        </is>
      </c>
      <c r="B150" s="13" t="n"/>
      <c r="C150" s="12" t="inlineStr">
        <is>
          <t>ks</t>
        </is>
      </c>
      <c r="D150" s="14" t="n"/>
      <c r="E150" s="15">
        <f>IF(OR(B150="",D150=""),"",B150*D150)</f>
        <v/>
      </c>
    </row>
    <row r="151">
      <c r="A151" s="12" t="inlineStr">
        <is>
          <t>Čokoládové brownies s karamelovými oříšky</t>
        </is>
      </c>
      <c r="B151" s="13" t="n"/>
      <c r="C151" s="12" t="inlineStr">
        <is>
          <t>ks</t>
        </is>
      </c>
      <c r="D151" s="14" t="n"/>
      <c r="E151" s="15">
        <f>IF(OR(B151="",D151=""),"",B151*D151)</f>
        <v/>
      </c>
    </row>
    <row r="152">
      <c r="A152" s="12" t="inlineStr">
        <is>
          <t>Cheesecake</t>
        </is>
      </c>
      <c r="B152" s="13" t="n"/>
      <c r="C152" s="12" t="inlineStr">
        <is>
          <t>ks</t>
        </is>
      </c>
      <c r="D152" s="14" t="n"/>
      <c r="E152" s="15">
        <f>IF(OR(B152="",D152=""),"",B152*D152)</f>
        <v/>
      </c>
    </row>
    <row r="153">
      <c r="A153" s="12" t="inlineStr">
        <is>
          <t>Ovocné kelímky</t>
        </is>
      </c>
      <c r="B153" s="13" t="n"/>
      <c r="C153" s="12" t="inlineStr">
        <is>
          <t>ks</t>
        </is>
      </c>
      <c r="D153" s="14" t="n"/>
      <c r="E153" s="15">
        <f>IF(OR(B153="",D153=""),"",B153*D153)</f>
        <v/>
      </c>
    </row>
    <row r="154">
      <c r="A154" s="12" t="inlineStr">
        <is>
          <t>Čokoládová fontána</t>
        </is>
      </c>
      <c r="B154" s="13" t="n"/>
      <c r="C154" s="12" t="inlineStr">
        <is>
          <t>ks</t>
        </is>
      </c>
      <c r="D154" s="14" t="n"/>
      <c r="E154" s="15">
        <f>IF(OR(B154="",D154=""),"",B154*D154)</f>
        <v/>
      </c>
    </row>
    <row r="155">
      <c r="A155" s="12" t="n"/>
      <c r="B155" s="13" t="n"/>
      <c r="C155" s="12" t="n"/>
      <c r="D155" s="14" t="n"/>
      <c r="E155" s="15">
        <f>IF(OR(B155="",D155=""),"",B155*D155)</f>
        <v/>
      </c>
    </row>
    <row r="156">
      <c r="A156" s="12" t="n"/>
      <c r="B156" s="13" t="n"/>
      <c r="C156" s="12" t="n"/>
      <c r="D156" s="14" t="n"/>
      <c r="E156" s="15">
        <f>IF(OR(B156="",D156=""),"",B156*D156)</f>
        <v/>
      </c>
    </row>
    <row r="157" ht="24" customHeight="1">
      <c r="A157" s="16" t="inlineStr">
        <is>
          <t>Celková cena</t>
        </is>
      </c>
      <c r="B157" s="17" t="n"/>
      <c r="C157" s="18" t="n"/>
      <c r="D157" s="18" t="n"/>
      <c r="E157" s="19">
        <f>SUM(E13:E156)</f>
        <v/>
      </c>
    </row>
    <row r="158">
      <c r="A158" s="2" t="inlineStr">
        <is>
          <t>Cena na osobu (podle počtu osob nahoře)</t>
        </is>
      </c>
      <c r="E158" s="20">
        <f>IF(N(B8)&gt;0,E157/B8,"")</f>
        <v/>
      </c>
    </row>
    <row r="159">
      <c r="A159" s="21" t="inlineStr">
        <is>
          <t>Položky bez ceny se do součtu nepočítají – cenu vám sdělíme.</t>
        </is>
      </c>
    </row>
    <row r="161">
      <c r="A161" s="3" t="inlineStr">
        <is>
          <t>Poznámka (alergie, přání, čas servírování…)</t>
        </is>
      </c>
    </row>
    <row r="162">
      <c r="A162" s="22" t="n"/>
      <c r="B162" s="5" t="n"/>
      <c r="C162" s="5" t="n"/>
      <c r="D162" s="5" t="n"/>
      <c r="E162" s="5" t="n"/>
    </row>
    <row r="163">
      <c r="A163" s="5" t="n"/>
      <c r="B163" s="5" t="n"/>
      <c r="C163" s="5" t="n"/>
      <c r="D163" s="5" t="n"/>
      <c r="E163" s="5" t="n"/>
    </row>
    <row r="164">
      <c r="A164" s="5" t="n"/>
      <c r="B164" s="5" t="n"/>
      <c r="C164" s="5" t="n"/>
      <c r="D164" s="5" t="n"/>
      <c r="E164" s="5" t="n"/>
    </row>
    <row r="165">
      <c r="A165" s="5" t="n"/>
      <c r="B165" s="5" t="n"/>
      <c r="C165" s="5" t="n"/>
      <c r="D165" s="5" t="n"/>
      <c r="E165" s="5" t="n"/>
    </row>
    <row r="167">
      <c r="A167" s="21" t="inlineStr">
        <is>
          <t>Vyplněnou tabulku nám pošlete zpět nebo zavolejte na +420 602 530 838.</t>
        </is>
      </c>
    </row>
  </sheetData>
  <sheetProtection selectLockedCells="0" selectUnlockedCells="0" sheet="1" objects="0" insertRows="1" insertHyperlinks="1" autoFilter="1" scenarios="0" formatColumns="1" deleteColumns="1" insertColumns="1" pivotTables="1" deleteRows="1" formatCells="1" formatRows="1" sort="1" password="9C35"/>
  <mergeCells count="22">
    <mergeCell ref="B6:E6"/>
    <mergeCell ref="B157:D157"/>
    <mergeCell ref="A1:E1"/>
    <mergeCell ref="B5:E5"/>
    <mergeCell ref="A61:E61"/>
    <mergeCell ref="B4:E4"/>
    <mergeCell ref="A128:E128"/>
    <mergeCell ref="B7:E7"/>
    <mergeCell ref="A137:E137"/>
    <mergeCell ref="A120:E120"/>
    <mergeCell ref="A95:E95"/>
    <mergeCell ref="A101:E101"/>
    <mergeCell ref="A2:E2"/>
    <mergeCell ref="A71:E71"/>
    <mergeCell ref="A141:E141"/>
    <mergeCell ref="A35:E35"/>
    <mergeCell ref="B8:E8"/>
    <mergeCell ref="A20:E20"/>
    <mergeCell ref="A162:E165"/>
    <mergeCell ref="A10:E10"/>
    <mergeCell ref="A112:E112"/>
    <mergeCell ref="A13:E13"/>
  </mergeCells>
  <conditionalFormatting sqref="D13:D156">
    <cfRule type="expression" priority="1" dxfId="0">
      <formula>$A13&lt;&gt;""</formula>
    </cfRule>
  </conditionalFormatting>
  <dataValidations count="3">
    <dataValidation sqref="B8" showDropDown="0" showInputMessage="0" showErrorMessage="0" allowBlank="1" errorTitle="Počet osob" error="Zadejte celé číslo (např. 40)." type="whole" operator="greaterThanOrEqual">
      <formula1>1</formula1>
    </dataValidation>
    <dataValidation sqref="D14 D15 D16 D17 D18 D19 D21 D22 D23 D24 D25 D26 D27 D28 D29 D30 D31 D32 D33 D34 D36 D37 D38 D39 D40 D41 D42 D43 D44 D45 D46 D47 D48 D49 D50 D51 D52 D53 D54 D55 D56 D57 D58 D59 D60 D62 D63 D64 D65 D66 D67 D68 D69 D70 D72 D73 D74 D75 D76 D77 D78 D79 D80 D81 D82 D83 D84 D85 D86 D87 D88 D89 D90 D91 D92 D93 D94 D96 D97 D98 D99 D100 D102 D103 D104 D105 D106 D107 D108 D109 D110 D111 D113 D114 D115 D116 D117 D118 D119 D121 D122 D123 D124 D125 D126 D127 D129 D130 D131 D132 D133 D134 D135 D136 D138 D139 D140 D142 D143 D144 D145 D146 D147 D148 D149 D150 D151 D152 D153 D154 D155 D156" showDropDown="0" showInputMessage="0" showErrorMessage="0" allowBlank="1" errorTitle="Množství" error="Zadejte číslo 0 nebo větší (např. 2 nebo 0,5)." type="decimal" operator="greaterThanOrEqual">
      <formula1>0</formula1>
    </dataValidation>
    <dataValidation sqref="C14 C15 C16 C17 C18 C19 C21 C22 C23 C24 C25 C26 C27 C28 C29 C30 C31 C32 C33 C34 C36 C37 C38 C39 C40 C41 C42 C43 C44 C45 C46 C47 C48 C49 C50 C51 C52 C53 C54 C55 C56 C57 C58 C59 C60 C62 C63 C64 C65 C66 C67 C68 C69 C70 C72 C73 C74 C75 C76 C77 C78 C79 C80 C81 C82 C83 C84 C85 C86 C87 C88 C89 C90 C91 C92 C93 C94 C96 C97 C98 C99 C100 C102 C103 C104 C105 C106 C107 C108 C109 C110 C111 C113 C114 C115 C116 C117 C118 C119 C121 C122 C123 C124 C125 C126 C127 C129 C130 C131 C132 C133 C134 C135 C136 C138 C139 C140 C142 C143 C144 C145 C146 C147 C148 C149 C150 C151 C152 C153 C154 C155 C156" showDropDown="0" showInputMessage="0" showErrorMessage="0" allowBlank="1" type="list">
      <formula1>"kg,ks,porce,mísa,osoba,hod,akce"</formula1>
    </dataValidation>
  </dataValidation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2026-10-21T20:57:51Z</dcterms:created>
  <dcterms:modified xmlns:dcterms="http://purl.org/dc/terms/" xmlns:xsi="http://www.w3.org/2001/XMLSchema-instance" xsi:type="dcterms:W3CDTF">2026-10-21T20:57:51Z</dcterms:modified>
</cp:coreProperties>
</file>